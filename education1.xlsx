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ildar\hse\"/>
    </mc:Choice>
  </mc:AlternateContent>
  <xr:revisionPtr revIDLastSave="0" documentId="13_ncr:1_{DD374706-B6B0-4465-9726-F77E21A4BC7D}" xr6:coauthVersionLast="47" xr6:coauthVersionMax="47" xr10:uidLastSave="{00000000-0000-0000-0000-000000000000}"/>
  <bookViews>
    <workbookView xWindow="0" yWindow="0" windowWidth="25600" windowHeight="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L41" i="1"/>
  <c r="K41" i="1"/>
  <c r="D43" i="1"/>
  <c r="J41" i="1"/>
  <c r="I41" i="1"/>
  <c r="H41" i="1"/>
  <c r="G41" i="1"/>
  <c r="F41" i="1"/>
  <c r="E41" i="1"/>
</calcChain>
</file>

<file path=xl/sharedStrings.xml><?xml version="1.0" encoding="utf-8"?>
<sst xmlns="http://schemas.openxmlformats.org/spreadsheetml/2006/main" count="53" uniqueCount="53">
  <si>
    <t>№</t>
  </si>
  <si>
    <t>question</t>
  </si>
  <si>
    <t>ср.знач</t>
  </si>
  <si>
    <t>Factor1</t>
  </si>
  <si>
    <t>Factor2</t>
  </si>
  <si>
    <t>Factor3</t>
  </si>
  <si>
    <t>Factor4</t>
  </si>
  <si>
    <t>Factor5</t>
  </si>
  <si>
    <t>Factor6</t>
  </si>
  <si>
    <t>Factor7</t>
  </si>
  <si>
    <t>Factor8</t>
  </si>
  <si>
    <t>GGlevel</t>
  </si>
  <si>
    <t>fulltime</t>
  </si>
  <si>
    <t>openglasha</t>
  </si>
  <si>
    <t>exit</t>
  </si>
  <si>
    <t>firstclick</t>
  </si>
  <si>
    <t>loginchoose</t>
  </si>
  <si>
    <t>help</t>
  </si>
  <si>
    <t>commtypes</t>
  </si>
  <si>
    <t>commname</t>
  </si>
  <si>
    <t>commеtheme</t>
  </si>
  <si>
    <t>commdescription</t>
  </si>
  <si>
    <t>commfoto</t>
  </si>
  <si>
    <t>privacy</t>
  </si>
  <si>
    <t>notion</t>
  </si>
  <si>
    <t>savepicture</t>
  </si>
  <si>
    <t>authorN</t>
  </si>
  <si>
    <t>authortime</t>
  </si>
  <si>
    <t>savepictureN</t>
  </si>
  <si>
    <t>picturechoose</t>
  </si>
  <si>
    <t>picturechooseN</t>
  </si>
  <si>
    <t>picturechoosedelete</t>
  </si>
  <si>
    <t>citation</t>
  </si>
  <si>
    <t>citationcode</t>
  </si>
  <si>
    <t>mail1</t>
  </si>
  <si>
    <t>mail2</t>
  </si>
  <si>
    <t>wall1</t>
  </si>
  <si>
    <t>private1</t>
  </si>
  <si>
    <t>private2</t>
  </si>
  <si>
    <t>wall2</t>
  </si>
  <si>
    <t>wall2comment3</t>
  </si>
  <si>
    <t>wall2comment4</t>
  </si>
  <si>
    <t>wall2comment5</t>
  </si>
  <si>
    <t>private3</t>
  </si>
  <si>
    <t>private4</t>
  </si>
  <si>
    <t>private5</t>
  </si>
  <si>
    <t>private6</t>
  </si>
  <si>
    <t>wall3</t>
  </si>
  <si>
    <t>wall4</t>
  </si>
  <si>
    <t>copymail</t>
  </si>
  <si>
    <t>Срдений балл по всем группам вопросов</t>
  </si>
  <si>
    <t>Средний балл факторов</t>
  </si>
  <si>
    <t>Средневзвешанный балл фактора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</si>
</sst>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trike/>
      <sz val="11"/>
      <name val="Calibri"/>
      <family val="2"/>
      <charset val="204"/>
    </font>
    <font>
      <strike/>
      <sz val="11"/>
      <color theme="1"/>
      <name val="Calibri"/>
      <family val="2"/>
      <charset val="204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/>
    </xf>
    <xf numFmtId="2" fontId="2" fillId="0" borderId="0" xfId="0" applyNumberFormat="1" applyFont="1"/>
    <xf numFmtId="2" fontId="0" fillId="2" borderId="0" xfId="0" applyNumberFormat="1" applyFill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2" fontId="4" fillId="0" borderId="0" xfId="0" applyNumberFormat="1" applyFont="1"/>
    <xf numFmtId="2" fontId="4" fillId="2" borderId="0" xfId="0" applyNumberFormat="1" applyFont="1" applyFill="1"/>
    <xf numFmtId="2" fontId="5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A40" zoomScale="160" zoomScaleNormal="160" workbookViewId="0">
      <selection activeCell="C39" sqref="C39"/>
    </sheetView>
  </sheetViews>
  <sheetFormatPr defaultRowHeight="14.5" x14ac:dyDescent="0.35"/>
  <cols>
    <col min="3" max="3" width="17.90625" customWidth="1"/>
    <col min="4" max="4" width="9.26953125" bestFit="1" customWidth="1"/>
    <col min="5" max="5" width="8.81640625" bestFit="1" customWidth="1"/>
    <col min="6" max="6" width="9.453125" bestFit="1" customWidth="1"/>
    <col min="7" max="7" width="10.453125" bestFit="1" customWidth="1"/>
    <col min="8" max="9" width="9.453125" bestFit="1" customWidth="1"/>
    <col min="10" max="10" width="11.54296875" bestFit="1" customWidth="1"/>
    <col min="11" max="12" width="9.453125" bestFit="1" customWidth="1"/>
  </cols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>
        <v>0</v>
      </c>
      <c r="B2">
        <v>0</v>
      </c>
      <c r="C2" t="s">
        <v>11</v>
      </c>
      <c r="D2" s="2">
        <v>1.376171352074967</v>
      </c>
      <c r="E2" s="5">
        <v>0.5140598320908456</v>
      </c>
      <c r="F2" s="2">
        <v>4.3686906124884253E-2</v>
      </c>
      <c r="G2" s="2">
        <v>0.16278780777148999</v>
      </c>
      <c r="H2" s="2">
        <v>0.1975210521678023</v>
      </c>
      <c r="I2" s="2">
        <v>0.12266767441674591</v>
      </c>
      <c r="J2" s="2">
        <v>5.9758332237783283E-2</v>
      </c>
      <c r="K2" s="2">
        <v>0.25452298896034831</v>
      </c>
      <c r="L2" s="5">
        <v>0.66900861010495216</v>
      </c>
    </row>
    <row r="3" spans="1:12" x14ac:dyDescent="0.35">
      <c r="A3" s="1">
        <v>1</v>
      </c>
      <c r="B3">
        <v>1</v>
      </c>
      <c r="C3" t="s">
        <v>12</v>
      </c>
      <c r="D3" s="2">
        <v>7.5934850513163763</v>
      </c>
      <c r="E3" s="2">
        <v>0.36258489258880472</v>
      </c>
      <c r="F3" s="5">
        <v>0.85051925860568189</v>
      </c>
      <c r="G3" s="2">
        <v>4.6391250875800823E-2</v>
      </c>
      <c r="H3" s="2">
        <v>0.11551497227144029</v>
      </c>
      <c r="I3" s="2">
        <v>3.8239580892771442E-2</v>
      </c>
      <c r="J3" s="2">
        <v>7.6047268178926153E-2</v>
      </c>
      <c r="K3" s="2">
        <v>7.5013671331687334E-2</v>
      </c>
      <c r="L3" s="2">
        <v>4.1277545714350508E-2</v>
      </c>
    </row>
    <row r="4" spans="1:12" x14ac:dyDescent="0.35">
      <c r="A4" s="1">
        <v>2</v>
      </c>
      <c r="B4">
        <v>2</v>
      </c>
      <c r="C4" t="s">
        <v>13</v>
      </c>
      <c r="D4" s="2">
        <v>1.815261044176707</v>
      </c>
      <c r="E4" s="2">
        <v>0.19916362135675089</v>
      </c>
      <c r="F4" s="2">
        <v>0.44636944857367911</v>
      </c>
      <c r="G4" s="2">
        <v>2.838497596015005E-2</v>
      </c>
      <c r="H4" s="2">
        <v>4.5343844901770948E-4</v>
      </c>
      <c r="I4" s="2">
        <v>4.8197732539204022E-2</v>
      </c>
      <c r="J4" s="2">
        <v>3.023404714084733E-2</v>
      </c>
      <c r="K4" s="2">
        <v>1.187018624280228E-2</v>
      </c>
      <c r="L4" s="2">
        <v>9.5273346359076319E-2</v>
      </c>
    </row>
    <row r="5" spans="1:12" x14ac:dyDescent="0.35">
      <c r="A5" s="1">
        <v>3</v>
      </c>
      <c r="B5">
        <v>3</v>
      </c>
      <c r="C5" t="s">
        <v>14</v>
      </c>
      <c r="D5" s="2">
        <v>0.56671128960285588</v>
      </c>
      <c r="E5" s="2">
        <v>0.3533493298851193</v>
      </c>
      <c r="F5" s="5">
        <v>0.88409023233101147</v>
      </c>
      <c r="G5" s="2">
        <v>4.6508871244314479E-2</v>
      </c>
      <c r="H5" s="2">
        <v>5.654481495634936E-2</v>
      </c>
      <c r="I5" s="2">
        <v>6.3385749776561584E-2</v>
      </c>
      <c r="J5" s="2">
        <v>4.8063778597933808E-2</v>
      </c>
      <c r="K5" s="2">
        <v>8.7980903822461667E-3</v>
      </c>
      <c r="L5" s="2">
        <v>3.071500139118424E-2</v>
      </c>
    </row>
    <row r="6" spans="1:12" x14ac:dyDescent="0.35">
      <c r="A6" s="1">
        <v>4</v>
      </c>
      <c r="B6">
        <v>4</v>
      </c>
      <c r="C6" t="s">
        <v>15</v>
      </c>
      <c r="D6" s="2">
        <v>0.72467648371262827</v>
      </c>
      <c r="E6" s="2">
        <v>0.37028573877048571</v>
      </c>
      <c r="F6" s="5">
        <v>0.78872217256563526</v>
      </c>
      <c r="G6" s="2">
        <v>4.1855753525945331E-2</v>
      </c>
      <c r="H6" s="2">
        <v>4.1267040889169403E-2</v>
      </c>
      <c r="I6" s="2">
        <v>1.2596569536668529E-2</v>
      </c>
      <c r="J6" s="2">
        <v>6.445542269925969E-2</v>
      </c>
      <c r="K6" s="2">
        <v>4.0646528731503873E-2</v>
      </c>
      <c r="L6" s="2">
        <v>4.7218544456039541E-2</v>
      </c>
    </row>
    <row r="7" spans="1:12" x14ac:dyDescent="0.35">
      <c r="A7" s="1">
        <v>5</v>
      </c>
      <c r="B7">
        <v>5</v>
      </c>
      <c r="C7" t="s">
        <v>16</v>
      </c>
      <c r="D7" s="2">
        <v>1.6876394466755911</v>
      </c>
      <c r="E7" s="5">
        <v>0.74678750973804664</v>
      </c>
      <c r="F7" s="2">
        <v>7.9696395410211049E-2</v>
      </c>
      <c r="G7" s="2">
        <v>5.9851985762598779E-2</v>
      </c>
      <c r="H7" s="2">
        <v>0.1460784954006363</v>
      </c>
      <c r="I7" s="2">
        <v>5.0068637747848893E-2</v>
      </c>
      <c r="J7" s="2">
        <v>9.4054840818189531E-2</v>
      </c>
      <c r="K7" s="2">
        <v>5.8461550822844141E-2</v>
      </c>
      <c r="L7" s="2">
        <v>3.8776250322786018E-2</v>
      </c>
    </row>
    <row r="8" spans="1:12" x14ac:dyDescent="0.35">
      <c r="A8" s="1">
        <v>6</v>
      </c>
      <c r="B8">
        <v>6</v>
      </c>
      <c r="C8" t="s">
        <v>17</v>
      </c>
      <c r="D8" s="2">
        <v>9.1030789825970543E-2</v>
      </c>
      <c r="E8" s="2">
        <v>0.12485499632321451</v>
      </c>
      <c r="F8" s="2">
        <v>3.3005874676686572E-2</v>
      </c>
      <c r="G8" s="2">
        <v>4.015092487901579E-3</v>
      </c>
      <c r="H8" s="2">
        <v>6.9644559191362684E-2</v>
      </c>
      <c r="I8" s="2">
        <v>4.096382657734058E-2</v>
      </c>
      <c r="J8" s="2">
        <v>3.6251489844813391E-2</v>
      </c>
      <c r="K8" s="2">
        <v>2.677580867822239E-2</v>
      </c>
      <c r="L8" s="2">
        <v>7.7131026084653314E-3</v>
      </c>
    </row>
    <row r="9" spans="1:12" x14ac:dyDescent="0.35">
      <c r="A9" s="1">
        <v>7</v>
      </c>
      <c r="B9">
        <v>7</v>
      </c>
      <c r="C9" t="s">
        <v>18</v>
      </c>
      <c r="D9" s="2">
        <v>2.948683623382419</v>
      </c>
      <c r="E9" s="2">
        <v>0.73200780404617161</v>
      </c>
      <c r="F9" s="2">
        <v>8.8948036315912096E-2</v>
      </c>
      <c r="G9" s="2">
        <v>8.4874594504528375E-2</v>
      </c>
      <c r="H9" s="2">
        <v>0.14110850079250881</v>
      </c>
      <c r="I9" s="2">
        <v>3.015483458545631E-2</v>
      </c>
      <c r="J9" s="2">
        <v>0.1192705986683818</v>
      </c>
      <c r="K9" s="2">
        <v>5.3103182802775192E-2</v>
      </c>
      <c r="L9" s="2">
        <v>3.306852630514594E-3</v>
      </c>
    </row>
    <row r="10" spans="1:12" x14ac:dyDescent="0.35">
      <c r="A10" s="1">
        <v>8</v>
      </c>
      <c r="B10">
        <v>8</v>
      </c>
      <c r="C10" t="s">
        <v>19</v>
      </c>
      <c r="D10" s="2">
        <v>2.0071396697902721</v>
      </c>
      <c r="E10" s="5">
        <v>0.75075937935963988</v>
      </c>
      <c r="F10" s="2">
        <v>7.4510179258282849E-2</v>
      </c>
      <c r="G10" s="2">
        <v>0.11062308742905359</v>
      </c>
      <c r="H10" s="2">
        <v>0.1446431720813483</v>
      </c>
      <c r="I10" s="2">
        <v>6.6673863731911379E-2</v>
      </c>
      <c r="J10" s="2">
        <v>8.1146662351607723E-2</v>
      </c>
      <c r="K10" s="2">
        <v>0.119706390404904</v>
      </c>
      <c r="L10" s="2">
        <v>0.19260222170475649</v>
      </c>
    </row>
    <row r="11" spans="1:12" x14ac:dyDescent="0.35">
      <c r="A11" s="1">
        <v>9</v>
      </c>
      <c r="B11">
        <v>9</v>
      </c>
      <c r="C11" t="s">
        <v>20</v>
      </c>
      <c r="D11" s="2">
        <v>1.6354306113342261</v>
      </c>
      <c r="E11" s="5">
        <v>0.85315875302879685</v>
      </c>
      <c r="F11" s="2">
        <v>9.7867626281980938E-2</v>
      </c>
      <c r="G11" s="2">
        <v>8.0613915103848674E-2</v>
      </c>
      <c r="H11" s="2">
        <v>0.1412253899461646</v>
      </c>
      <c r="I11" s="2">
        <v>3.7204179806751891E-2</v>
      </c>
      <c r="J11" s="2">
        <v>0.1153582169247713</v>
      </c>
      <c r="K11" s="2">
        <v>9.7555056132914153E-2</v>
      </c>
      <c r="L11" s="2">
        <v>2.979780342310999E-3</v>
      </c>
    </row>
    <row r="12" spans="1:12" x14ac:dyDescent="0.35">
      <c r="A12" s="1">
        <v>10</v>
      </c>
      <c r="B12">
        <v>10</v>
      </c>
      <c r="C12" t="s">
        <v>21</v>
      </c>
      <c r="D12" s="2">
        <v>1.530120481927711</v>
      </c>
      <c r="E12" s="5">
        <v>0.77127009403010094</v>
      </c>
      <c r="F12" s="2">
        <v>0.1091468258812188</v>
      </c>
      <c r="G12" s="2">
        <v>9.1985887159234156E-2</v>
      </c>
      <c r="H12" s="2">
        <v>0.1019842228159038</v>
      </c>
      <c r="I12" s="2">
        <v>4.0621220642640732E-2</v>
      </c>
      <c r="J12" s="2">
        <v>0.1104138179329965</v>
      </c>
      <c r="K12" s="2">
        <v>8.1344323600168841E-2</v>
      </c>
      <c r="L12" s="2">
        <v>1.138202371155117E-2</v>
      </c>
    </row>
    <row r="13" spans="1:12" x14ac:dyDescent="0.35">
      <c r="A13" s="1">
        <v>11</v>
      </c>
      <c r="B13">
        <v>11</v>
      </c>
      <c r="C13" t="s">
        <v>22</v>
      </c>
      <c r="D13" s="2">
        <v>2.196340919232485</v>
      </c>
      <c r="E13" s="5">
        <v>0.66558581412303963</v>
      </c>
      <c r="F13" s="2">
        <v>8.0530650858115532E-2</v>
      </c>
      <c r="G13" s="2">
        <v>0.1013774740293507</v>
      </c>
      <c r="H13" s="2">
        <v>0.1146747114521756</v>
      </c>
      <c r="I13" s="2">
        <v>5.3961191430026229E-2</v>
      </c>
      <c r="J13" s="2">
        <v>7.3877380533996007E-2</v>
      </c>
      <c r="K13" s="2">
        <v>6.4847126259116816E-2</v>
      </c>
      <c r="L13" s="2">
        <v>2.9410358620181501E-2</v>
      </c>
    </row>
    <row r="14" spans="1:12" x14ac:dyDescent="0.35">
      <c r="A14" s="1">
        <v>12</v>
      </c>
      <c r="B14">
        <v>12</v>
      </c>
      <c r="C14" t="s">
        <v>23</v>
      </c>
      <c r="D14" s="2">
        <v>1.06871932173137</v>
      </c>
      <c r="E14" s="5">
        <v>0.75158023468790724</v>
      </c>
      <c r="F14" s="2">
        <v>0.11976085053938661</v>
      </c>
      <c r="G14" s="2">
        <v>7.1237284065646909E-3</v>
      </c>
      <c r="H14" s="2">
        <v>5.9674039519883051E-2</v>
      </c>
      <c r="I14" s="2">
        <v>2.1554125975515759E-2</v>
      </c>
      <c r="J14" s="2">
        <v>9.7212136598103085E-2</v>
      </c>
      <c r="K14" s="2">
        <v>3.357371021321736E-2</v>
      </c>
      <c r="L14" s="2">
        <v>0.24472421345597381</v>
      </c>
    </row>
    <row r="15" spans="1:12" x14ac:dyDescent="0.35">
      <c r="A15" s="1">
        <v>13</v>
      </c>
      <c r="B15">
        <v>13</v>
      </c>
      <c r="C15" t="s">
        <v>24</v>
      </c>
      <c r="D15" s="2">
        <v>0.51182507809013833</v>
      </c>
      <c r="E15" s="2">
        <v>0.23252984464186771</v>
      </c>
      <c r="F15" s="2">
        <v>5.076614116936274E-2</v>
      </c>
      <c r="G15" s="2">
        <v>3.1497321584545233E-2</v>
      </c>
      <c r="H15" s="2">
        <v>2.123116116517958E-2</v>
      </c>
      <c r="I15" s="2">
        <v>2.2149595301949741E-2</v>
      </c>
      <c r="J15" s="2">
        <v>7.1670629800260746E-2</v>
      </c>
      <c r="K15" s="2">
        <v>1.6569466374336119E-2</v>
      </c>
      <c r="L15" s="2">
        <v>0.25922034876052857</v>
      </c>
    </row>
    <row r="16" spans="1:12" s="7" customFormat="1" x14ac:dyDescent="0.35">
      <c r="A16" s="6">
        <v>14</v>
      </c>
      <c r="B16" s="7">
        <v>14</v>
      </c>
      <c r="C16" s="7" t="s">
        <v>25</v>
      </c>
      <c r="D16" s="8">
        <v>148.128067826863</v>
      </c>
      <c r="E16" s="8">
        <v>0.38157303302311418</v>
      </c>
      <c r="F16" s="8">
        <v>7.8112858989106457E-2</v>
      </c>
      <c r="G16" s="8">
        <v>0.21556463453507221</v>
      </c>
      <c r="H16" s="8">
        <v>0.1235562539464779</v>
      </c>
      <c r="I16" s="8">
        <v>1.5985752087858449E-2</v>
      </c>
      <c r="J16" s="9">
        <v>0.85550975847279642</v>
      </c>
      <c r="K16" s="8">
        <v>7.4144572120179913E-2</v>
      </c>
      <c r="L16" s="8">
        <v>2.236414233275431E-2</v>
      </c>
    </row>
    <row r="17" spans="1:12" x14ac:dyDescent="0.35">
      <c r="A17" s="1">
        <v>15</v>
      </c>
      <c r="B17">
        <v>15</v>
      </c>
      <c r="C17" t="s">
        <v>26</v>
      </c>
      <c r="D17" s="2">
        <v>0.18563141454707721</v>
      </c>
      <c r="E17" s="2">
        <v>0.12328648834066359</v>
      </c>
      <c r="F17" s="2">
        <v>5.1403508793527086E-4</v>
      </c>
      <c r="G17" s="2">
        <v>0.1319933616793903</v>
      </c>
      <c r="H17" s="2">
        <v>7.3162228396883952E-2</v>
      </c>
      <c r="I17" s="5">
        <v>0.75608284489030209</v>
      </c>
      <c r="J17" s="2">
        <v>1.398792068115415E-2</v>
      </c>
      <c r="K17" s="2">
        <v>2.5851009407160189E-2</v>
      </c>
      <c r="L17" s="2">
        <v>3.7876282336411583E-2</v>
      </c>
    </row>
    <row r="18" spans="1:12" x14ac:dyDescent="0.35">
      <c r="A18" s="1">
        <v>16</v>
      </c>
      <c r="B18">
        <v>16</v>
      </c>
      <c r="C18" t="s">
        <v>27</v>
      </c>
      <c r="D18" s="2">
        <v>2.1731369924141011</v>
      </c>
      <c r="E18" s="2">
        <v>6.5318313723869648E-2</v>
      </c>
      <c r="F18" s="2">
        <v>2.417698688024426E-2</v>
      </c>
      <c r="G18" s="2">
        <v>6.5038334222203717E-2</v>
      </c>
      <c r="H18" s="2">
        <v>4.9236642401460889E-2</v>
      </c>
      <c r="I18" s="5">
        <v>0.96350567208370574</v>
      </c>
      <c r="J18" s="2">
        <v>3.2172425900494912E-2</v>
      </c>
      <c r="K18" s="2">
        <v>4.0276434669524422E-2</v>
      </c>
      <c r="L18" s="2">
        <v>3.894320914546219E-2</v>
      </c>
    </row>
    <row r="19" spans="1:12" x14ac:dyDescent="0.35">
      <c r="A19" s="1">
        <v>17</v>
      </c>
      <c r="B19">
        <v>17</v>
      </c>
      <c r="C19" t="s">
        <v>28</v>
      </c>
      <c r="D19" s="2">
        <v>2.1004016064257032</v>
      </c>
      <c r="E19" s="2">
        <v>0.38581465341367382</v>
      </c>
      <c r="F19" s="2">
        <v>2.5349998659932871E-2</v>
      </c>
      <c r="G19" s="2">
        <v>3.2649614604262557E-2</v>
      </c>
      <c r="H19" s="5">
        <v>0.9148145973341133</v>
      </c>
      <c r="I19" s="2">
        <v>3.6190634978051743E-2</v>
      </c>
      <c r="J19" s="2">
        <v>4.2567398240720769E-2</v>
      </c>
      <c r="K19" s="2">
        <v>7.4570173471021697E-2</v>
      </c>
      <c r="L19" s="2">
        <v>1.458237172636892E-2</v>
      </c>
    </row>
    <row r="20" spans="1:12" s="7" customFormat="1" x14ac:dyDescent="0.35">
      <c r="A20" s="6">
        <v>18</v>
      </c>
      <c r="B20" s="7">
        <v>18</v>
      </c>
      <c r="C20" s="7" t="s">
        <v>29</v>
      </c>
      <c r="D20" s="8">
        <v>43.053101294065151</v>
      </c>
      <c r="E20" s="8">
        <v>0.43348606235343468</v>
      </c>
      <c r="F20" s="8">
        <v>5.0663278802799798E-2</v>
      </c>
      <c r="G20" s="8">
        <v>0.29196463796277189</v>
      </c>
      <c r="H20" s="8">
        <v>8.8749167915290091E-3</v>
      </c>
      <c r="I20" s="8">
        <v>3.847846515890352E-3</v>
      </c>
      <c r="J20" s="9">
        <v>0.66560204696694003</v>
      </c>
      <c r="K20" s="8">
        <v>8.6122567224226759E-2</v>
      </c>
      <c r="L20" s="8">
        <v>5.3430247639169932E-2</v>
      </c>
    </row>
    <row r="21" spans="1:12" x14ac:dyDescent="0.35">
      <c r="A21" s="1">
        <v>19</v>
      </c>
      <c r="B21">
        <v>19</v>
      </c>
      <c r="C21" t="s">
        <v>30</v>
      </c>
      <c r="D21" s="2">
        <v>1.9919678714859439</v>
      </c>
      <c r="E21" s="2">
        <v>0.31841139480212222</v>
      </c>
      <c r="F21" s="2">
        <v>1.7039476646834049E-2</v>
      </c>
      <c r="G21" s="2">
        <v>9.8820016702531335E-2</v>
      </c>
      <c r="H21" s="5">
        <v>0.62420458928266909</v>
      </c>
      <c r="I21" s="2">
        <v>5.2850079845944621E-2</v>
      </c>
      <c r="J21" s="2">
        <v>2.9752213308794182E-3</v>
      </c>
      <c r="K21" s="2">
        <v>7.415474506593199E-2</v>
      </c>
      <c r="L21" s="2">
        <v>0.1517991007857237</v>
      </c>
    </row>
    <row r="22" spans="1:12" x14ac:dyDescent="0.35">
      <c r="A22" s="1">
        <v>20</v>
      </c>
      <c r="B22">
        <v>20</v>
      </c>
      <c r="C22" t="s">
        <v>31</v>
      </c>
      <c r="D22" s="2">
        <v>5.6416778224007142</v>
      </c>
      <c r="E22" s="2">
        <v>8.6142133316396502E-2</v>
      </c>
      <c r="F22" s="2">
        <v>1.185867201121954E-2</v>
      </c>
      <c r="G22" s="2">
        <v>5.5130709613274147E-2</v>
      </c>
      <c r="H22" s="2">
        <v>0.2274187605182556</v>
      </c>
      <c r="I22" s="2">
        <v>5.3588084293381563E-2</v>
      </c>
      <c r="J22" s="2">
        <v>0.19657403080011229</v>
      </c>
      <c r="K22" s="2">
        <v>4.0726976093169356E-3</v>
      </c>
      <c r="L22" s="2">
        <v>1.2621201820269091E-2</v>
      </c>
    </row>
    <row r="23" spans="1:12" s="7" customFormat="1" x14ac:dyDescent="0.35">
      <c r="A23" s="6">
        <v>21</v>
      </c>
      <c r="B23" s="7">
        <v>21</v>
      </c>
      <c r="C23" s="7" t="s">
        <v>32</v>
      </c>
      <c r="D23" s="8">
        <v>11.638107987505579</v>
      </c>
      <c r="E23" s="8">
        <v>0.16390662433884029</v>
      </c>
      <c r="F23" s="8">
        <v>3.5447491701803557E-2</v>
      </c>
      <c r="G23" s="9">
        <v>0.75621133984874422</v>
      </c>
      <c r="H23" s="8">
        <v>7.3003779522946816E-2</v>
      </c>
      <c r="I23" s="8">
        <v>0.111310537647097</v>
      </c>
      <c r="J23" s="8">
        <v>0.10927594817629251</v>
      </c>
      <c r="K23" s="8">
        <v>6.3959399934920655E-2</v>
      </c>
      <c r="L23" s="8">
        <v>1.517447600150665E-2</v>
      </c>
    </row>
    <row r="24" spans="1:12" s="7" customFormat="1" x14ac:dyDescent="0.35">
      <c r="A24" s="6">
        <v>22</v>
      </c>
      <c r="B24" s="7">
        <v>22</v>
      </c>
      <c r="C24" s="7" t="s">
        <v>33</v>
      </c>
      <c r="D24" s="8">
        <v>20.523427041499328</v>
      </c>
      <c r="E24" s="8">
        <v>0.15437832851017261</v>
      </c>
      <c r="F24" s="8">
        <v>2.0298108503446322E-2</v>
      </c>
      <c r="G24" s="9">
        <v>0.91289300203977897</v>
      </c>
      <c r="H24" s="8">
        <v>9.6037482529117715E-2</v>
      </c>
      <c r="I24" s="8">
        <v>0.1200501660063875</v>
      </c>
      <c r="J24" s="8">
        <v>0.25219408934577842</v>
      </c>
      <c r="K24" s="8">
        <v>8.1798864494724302E-2</v>
      </c>
      <c r="L24" s="8">
        <v>0.1172074759285992</v>
      </c>
    </row>
    <row r="25" spans="1:12" x14ac:dyDescent="0.35">
      <c r="A25" s="1">
        <v>23</v>
      </c>
      <c r="B25">
        <v>23</v>
      </c>
      <c r="C25" t="s">
        <v>34</v>
      </c>
      <c r="D25" s="2">
        <v>1.4279339580544399</v>
      </c>
      <c r="E25" s="5">
        <v>0.7879841028162734</v>
      </c>
      <c r="F25" s="2">
        <v>0.12891087621596159</v>
      </c>
      <c r="G25" s="2">
        <v>8.7031793028701163E-2</v>
      </c>
      <c r="H25" s="2">
        <v>0.13625338370992479</v>
      </c>
      <c r="I25" s="2">
        <v>4.3206205957198013E-2</v>
      </c>
      <c r="J25" s="2">
        <v>0.12652303072642371</v>
      </c>
      <c r="K25" s="2">
        <v>0.1197342847201664</v>
      </c>
      <c r="L25" s="2">
        <v>8.0911177369130897E-3</v>
      </c>
    </row>
    <row r="26" spans="1:12" x14ac:dyDescent="0.35">
      <c r="A26" s="1">
        <v>24</v>
      </c>
      <c r="B26">
        <v>24</v>
      </c>
      <c r="C26" t="s">
        <v>35</v>
      </c>
      <c r="D26" s="2">
        <v>1.3810798750557789</v>
      </c>
      <c r="E26" s="5">
        <v>0.67757630427080318</v>
      </c>
      <c r="F26" s="2">
        <v>7.481579971124766E-2</v>
      </c>
      <c r="G26" s="2">
        <v>7.1424924186182431E-2</v>
      </c>
      <c r="H26" s="2">
        <v>8.7434173639402035E-2</v>
      </c>
      <c r="I26" s="2">
        <v>3.0263074160820289E-2</v>
      </c>
      <c r="J26" s="2">
        <v>0.1077401894101218</v>
      </c>
      <c r="K26" s="2">
        <v>1.781125165298994E-2</v>
      </c>
      <c r="L26" s="2">
        <v>0.1084901377756535</v>
      </c>
    </row>
    <row r="27" spans="1:12" x14ac:dyDescent="0.35">
      <c r="A27" s="1">
        <v>25</v>
      </c>
      <c r="B27">
        <v>25</v>
      </c>
      <c r="C27" t="s">
        <v>36</v>
      </c>
      <c r="D27" s="2">
        <v>1.302543507362784</v>
      </c>
      <c r="E27" s="5">
        <v>0.70197360636094841</v>
      </c>
      <c r="F27" s="2">
        <v>8.4586256469749252E-2</v>
      </c>
      <c r="G27" s="2">
        <v>3.6743044716210968E-2</v>
      </c>
      <c r="H27" s="2">
        <v>0.10587710688449491</v>
      </c>
      <c r="I27" s="2">
        <v>2.5004800246396109E-2</v>
      </c>
      <c r="J27" s="2">
        <v>0.12577674164370289</v>
      </c>
      <c r="K27" s="2">
        <v>8.3679112825010379E-2</v>
      </c>
      <c r="L27" s="2">
        <v>9.1713517571803835E-2</v>
      </c>
    </row>
    <row r="28" spans="1:12" x14ac:dyDescent="0.35">
      <c r="A28" s="1">
        <v>26</v>
      </c>
      <c r="B28">
        <v>26</v>
      </c>
      <c r="C28" t="s">
        <v>37</v>
      </c>
      <c r="D28" s="2">
        <v>0.95448460508701471</v>
      </c>
      <c r="E28" s="5">
        <v>0.77251872246310282</v>
      </c>
      <c r="F28" s="2">
        <v>0.11939390156033659</v>
      </c>
      <c r="G28" s="2">
        <v>8.1494962420886177E-2</v>
      </c>
      <c r="H28" s="2">
        <v>0.1181311923468662</v>
      </c>
      <c r="I28" s="2">
        <v>4.623715123448343E-2</v>
      </c>
      <c r="J28" s="2">
        <v>0.1000305787551338</v>
      </c>
      <c r="K28" s="2">
        <v>2.415196528128858E-2</v>
      </c>
      <c r="L28" s="2">
        <v>0.1128011758931606</v>
      </c>
    </row>
    <row r="29" spans="1:12" x14ac:dyDescent="0.35">
      <c r="A29" s="1">
        <v>27</v>
      </c>
      <c r="B29">
        <v>27</v>
      </c>
      <c r="C29" t="s">
        <v>38</v>
      </c>
      <c r="D29" s="2">
        <v>1.5149486836233821</v>
      </c>
      <c r="E29" s="5">
        <v>0.82551058522500009</v>
      </c>
      <c r="F29" s="2">
        <v>0.11587360241434939</v>
      </c>
      <c r="G29" s="2">
        <v>7.1822406566193639E-2</v>
      </c>
      <c r="H29" s="2">
        <v>0.1443714496965865</v>
      </c>
      <c r="I29" s="2">
        <v>6.8019435066800388E-2</v>
      </c>
      <c r="J29" s="2">
        <v>0.12019409555028231</v>
      </c>
      <c r="K29" s="2">
        <v>0.15709070462540181</v>
      </c>
      <c r="L29" s="2">
        <v>2.4378383821412181E-2</v>
      </c>
    </row>
    <row r="30" spans="1:12" x14ac:dyDescent="0.35">
      <c r="A30" s="1">
        <v>28</v>
      </c>
      <c r="B30">
        <v>28</v>
      </c>
      <c r="C30" t="s">
        <v>39</v>
      </c>
      <c r="D30" s="2">
        <v>1.840696117804552</v>
      </c>
      <c r="E30" s="5">
        <v>0.6911487658806944</v>
      </c>
      <c r="F30" s="2">
        <v>8.6331707209452282E-2</v>
      </c>
      <c r="G30" s="2">
        <v>9.7220132910154314E-2</v>
      </c>
      <c r="H30" s="2">
        <v>0.1050950744631753</v>
      </c>
      <c r="I30" s="2">
        <v>3.1870428580123213E-2</v>
      </c>
      <c r="J30" s="2">
        <v>0.1150944981010717</v>
      </c>
      <c r="K30" s="2">
        <v>7.4230591731194992E-2</v>
      </c>
      <c r="L30" s="2">
        <v>4.406015870747221E-3</v>
      </c>
    </row>
    <row r="31" spans="1:12" x14ac:dyDescent="0.35">
      <c r="A31" s="1">
        <v>29</v>
      </c>
      <c r="B31">
        <v>29</v>
      </c>
      <c r="C31" t="s">
        <v>40</v>
      </c>
      <c r="D31" s="2">
        <v>2</v>
      </c>
      <c r="E31" s="5">
        <v>0.62595430533509377</v>
      </c>
      <c r="F31" s="2">
        <v>6.9374014400866379E-2</v>
      </c>
      <c r="G31" s="2">
        <v>6.9229164854089073E-2</v>
      </c>
      <c r="H31" s="2">
        <v>0.11443287903674119</v>
      </c>
      <c r="I31" s="2">
        <v>6.8994568682895302E-2</v>
      </c>
      <c r="J31" s="2">
        <v>0.1072600013655353</v>
      </c>
      <c r="K31" s="2">
        <v>0.1183884263700663</v>
      </c>
      <c r="L31" s="2">
        <v>0.1878114409443595</v>
      </c>
    </row>
    <row r="32" spans="1:12" x14ac:dyDescent="0.35">
      <c r="A32" s="1">
        <v>30</v>
      </c>
      <c r="B32">
        <v>30</v>
      </c>
      <c r="C32" t="s">
        <v>41</v>
      </c>
      <c r="D32" s="2">
        <v>2.4185631414547082</v>
      </c>
      <c r="E32" s="5">
        <v>0.69803978375790099</v>
      </c>
      <c r="F32" s="2">
        <v>6.1537562094853053E-2</v>
      </c>
      <c r="G32" s="2">
        <v>6.2569812185914606E-2</v>
      </c>
      <c r="H32" s="2">
        <v>0.1448046977592036</v>
      </c>
      <c r="I32" s="2">
        <v>8.0850718182136488E-2</v>
      </c>
      <c r="J32" s="2">
        <v>0.12657102104570239</v>
      </c>
      <c r="K32" s="2">
        <v>0.12835821298990061</v>
      </c>
      <c r="L32" s="2">
        <v>0.28619420757206437</v>
      </c>
    </row>
    <row r="33" spans="1:12" x14ac:dyDescent="0.35">
      <c r="A33" s="1">
        <v>31</v>
      </c>
      <c r="B33">
        <v>31</v>
      </c>
      <c r="C33" t="s">
        <v>42</v>
      </c>
      <c r="D33" s="2">
        <v>1.099509147701919</v>
      </c>
      <c r="E33" s="5">
        <v>0.55901203229063789</v>
      </c>
      <c r="F33" s="2">
        <v>4.4294049962372108E-2</v>
      </c>
      <c r="G33" s="2">
        <v>3.4970792224721513E-2</v>
      </c>
      <c r="H33" s="2">
        <v>9.2783665201013929E-2</v>
      </c>
      <c r="I33" s="2">
        <v>2.216391843951631E-2</v>
      </c>
      <c r="J33" s="2">
        <v>0.10777018335722389</v>
      </c>
      <c r="K33" s="2">
        <v>9.3865201295494749E-2</v>
      </c>
      <c r="L33" s="2">
        <v>9.9574841522131557E-2</v>
      </c>
    </row>
    <row r="34" spans="1:12" x14ac:dyDescent="0.35">
      <c r="A34" s="1">
        <v>32</v>
      </c>
      <c r="B34">
        <v>32</v>
      </c>
      <c r="C34" t="s">
        <v>43</v>
      </c>
      <c r="D34" s="2">
        <v>1.9567157518964751</v>
      </c>
      <c r="E34" s="2">
        <v>0.42897234103458037</v>
      </c>
      <c r="F34" s="2">
        <v>5.5507926745336209E-2</v>
      </c>
      <c r="G34" s="2">
        <v>0.12310720884376911</v>
      </c>
      <c r="H34" s="2">
        <v>7.9266804958065248E-2</v>
      </c>
      <c r="I34" s="2">
        <v>6.911502034461646E-2</v>
      </c>
      <c r="J34" s="2">
        <v>5.4338698493422342E-2</v>
      </c>
      <c r="K34" s="5">
        <v>0.55573117945779882</v>
      </c>
      <c r="L34" s="2">
        <v>0.15567550110274869</v>
      </c>
    </row>
    <row r="35" spans="1:12" x14ac:dyDescent="0.35">
      <c r="A35" s="1">
        <v>33</v>
      </c>
      <c r="B35">
        <v>33</v>
      </c>
      <c r="C35" t="s">
        <v>44</v>
      </c>
      <c r="D35" s="2">
        <v>1.875055778670236</v>
      </c>
      <c r="E35" s="5">
        <v>0.56129975290333345</v>
      </c>
      <c r="F35" s="2">
        <v>2.0166452373156878E-2</v>
      </c>
      <c r="G35" s="2">
        <v>0.10892124187870821</v>
      </c>
      <c r="H35" s="2">
        <v>9.9582412237314663E-2</v>
      </c>
      <c r="I35" s="2">
        <v>3.3754724956561691E-2</v>
      </c>
      <c r="J35" s="2">
        <v>0.101273711713647</v>
      </c>
      <c r="K35" s="5">
        <v>0.57091433583820939</v>
      </c>
      <c r="L35" s="2">
        <v>4.9534104408878517E-2</v>
      </c>
    </row>
    <row r="36" spans="1:12" x14ac:dyDescent="0.35">
      <c r="A36" s="1">
        <v>34</v>
      </c>
      <c r="B36">
        <v>34</v>
      </c>
      <c r="C36" t="s">
        <v>45</v>
      </c>
      <c r="D36" s="2">
        <v>2.1753681392235609</v>
      </c>
      <c r="E36" s="5">
        <v>0.64927184406446736</v>
      </c>
      <c r="F36" s="2">
        <v>2.2751653797131871E-2</v>
      </c>
      <c r="G36" s="2">
        <v>0.11730846932453851</v>
      </c>
      <c r="H36" s="2">
        <v>0.14048200343175729</v>
      </c>
      <c r="I36" s="2">
        <v>7.2028616477454802E-2</v>
      </c>
      <c r="J36" s="2">
        <v>0.1039244915965138</v>
      </c>
      <c r="K36" s="2">
        <v>0.35403206192901548</v>
      </c>
      <c r="L36" s="2">
        <v>0.1037452870803181</v>
      </c>
    </row>
    <row r="37" spans="1:12" x14ac:dyDescent="0.35">
      <c r="A37" s="1">
        <v>35</v>
      </c>
      <c r="B37">
        <v>35</v>
      </c>
      <c r="C37" t="s">
        <v>46</v>
      </c>
      <c r="D37" s="2">
        <v>2.9701026327532349</v>
      </c>
      <c r="E37" s="5">
        <v>0.70266593917305942</v>
      </c>
      <c r="F37" s="2">
        <v>6.9242512598955253E-2</v>
      </c>
      <c r="G37" s="2">
        <v>9.5848977634480179E-2</v>
      </c>
      <c r="H37" s="2">
        <v>0.12991520700764969</v>
      </c>
      <c r="I37" s="2">
        <v>7.5221551497606856E-2</v>
      </c>
      <c r="J37" s="2">
        <v>0.11073992702933021</v>
      </c>
      <c r="K37" s="2">
        <v>0.22546470902525181</v>
      </c>
      <c r="L37" s="2">
        <v>0.14450810768609049</v>
      </c>
    </row>
    <row r="38" spans="1:12" x14ac:dyDescent="0.35">
      <c r="A38" s="1">
        <v>36</v>
      </c>
      <c r="B38">
        <v>36</v>
      </c>
      <c r="C38" t="s">
        <v>47</v>
      </c>
      <c r="D38" s="2">
        <v>1.875502008032129</v>
      </c>
      <c r="E38" s="5">
        <v>0.76950426124477711</v>
      </c>
      <c r="F38" s="2">
        <v>9.2049012624445412E-2</v>
      </c>
      <c r="G38" s="2">
        <v>0.1074419419081737</v>
      </c>
      <c r="H38" s="2">
        <v>0.11552531816518539</v>
      </c>
      <c r="I38" s="2">
        <v>5.7254000812384021E-2</v>
      </c>
      <c r="J38" s="2">
        <v>0.1029371536376591</v>
      </c>
      <c r="K38" s="2">
        <v>9.6098885354833269E-2</v>
      </c>
      <c r="L38" s="2">
        <v>1.539290008074789E-2</v>
      </c>
    </row>
    <row r="39" spans="1:12" x14ac:dyDescent="0.35">
      <c r="A39" s="1">
        <v>37</v>
      </c>
      <c r="B39">
        <v>37</v>
      </c>
      <c r="C39" t="s">
        <v>48</v>
      </c>
      <c r="D39" s="2">
        <v>2.1508255243195</v>
      </c>
      <c r="E39" s="5">
        <v>0.81812415264812544</v>
      </c>
      <c r="F39" s="2">
        <v>7.2702451025630957E-2</v>
      </c>
      <c r="G39" s="2">
        <v>8.0982277354391854E-2</v>
      </c>
      <c r="H39" s="2">
        <v>0.15064148410177661</v>
      </c>
      <c r="I39" s="2">
        <v>4.5509896689171402E-2</v>
      </c>
      <c r="J39" s="2">
        <v>0.1262668640162064</v>
      </c>
      <c r="K39" s="2">
        <v>7.6676566764046522E-2</v>
      </c>
      <c r="L39" s="2">
        <v>3.645758503327576E-3</v>
      </c>
    </row>
    <row r="40" spans="1:12" s="7" customFormat="1" x14ac:dyDescent="0.35">
      <c r="A40" s="6">
        <v>38</v>
      </c>
      <c r="B40" s="7">
        <v>38</v>
      </c>
      <c r="C40" s="7" t="s">
        <v>49</v>
      </c>
      <c r="D40" s="8">
        <v>97.614904060687195</v>
      </c>
      <c r="E40" s="9">
        <v>0.55109414381999944</v>
      </c>
      <c r="F40" s="8">
        <v>3.5638611052315888E-2</v>
      </c>
      <c r="G40" s="8">
        <v>5.030511408043304E-2</v>
      </c>
      <c r="H40" s="8">
        <v>0.12609624976206879</v>
      </c>
      <c r="I40" s="8">
        <v>3.5617607742142669E-2</v>
      </c>
      <c r="J40" s="8">
        <v>6.670725465914612E-2</v>
      </c>
      <c r="K40" s="8">
        <v>0.1068569660041018</v>
      </c>
      <c r="L40" s="8">
        <v>0.16567965495295889</v>
      </c>
    </row>
    <row r="41" spans="1:12" ht="15" customHeight="1" x14ac:dyDescent="0.35">
      <c r="A41" s="3" t="s">
        <v>52</v>
      </c>
      <c r="B41" s="3"/>
      <c r="C41" s="3"/>
      <c r="E41" s="4">
        <f>(D2*E2+E7*D7+E10*D10+E11*D11+E12*D12+E13*D13+E14*D14+E25*D25+E26*D26+E27*D27+E28*D28+E29*D29+E30*D30+E31*D31+E32*D32+E33*D33+E35*D35+E36*D36+E37*D37+E38*D38+E39*D39+E40*D40)/(E2+E7+E10+E11+E12+E13+E14+E25+E26+E27+E28+E29+E30+E31+E32+E33+E35+E36+E37+E38+E39+E40)</f>
        <v>5.1573804837595594</v>
      </c>
      <c r="F41" s="2">
        <f>(F3*D3+F5*D5+F6*D6)/(F3+F5+F6)</f>
        <v>2.984545278505609</v>
      </c>
      <c r="G41" s="10">
        <f>(G23*D23+G24*D24)/(G23+G24)</f>
        <v>16.497807517197021</v>
      </c>
      <c r="H41" s="2">
        <f>(H19*D19+H21*D21)/(H19+H21)</f>
        <v>2.0564224048855007</v>
      </c>
      <c r="I41" s="2">
        <f>(I17*D17+I18*D18)/(I17+I18)</f>
        <v>1.2992541671243591</v>
      </c>
      <c r="J41" s="10">
        <f>(J16*D16+J20*D20)/(J16+J20)</f>
        <v>102.14978236546351</v>
      </c>
      <c r="K41" s="2">
        <f>(K34*D34+K35*D35)/(K34+K35)</f>
        <v>1.9153355229370801</v>
      </c>
      <c r="L41" s="2">
        <f>(L2*D2)/L2</f>
        <v>1.376171352074967</v>
      </c>
    </row>
    <row r="42" spans="1:12" x14ac:dyDescent="0.35">
      <c r="A42" s="3" t="s">
        <v>51</v>
      </c>
      <c r="B42" s="3"/>
      <c r="C42" s="3"/>
      <c r="D42" s="2">
        <f>AVERAGE(E41,F41,H41,I41,K41,L41)</f>
        <v>2.4648515348811797</v>
      </c>
    </row>
    <row r="43" spans="1:12" x14ac:dyDescent="0.35">
      <c r="A43" s="3" t="s">
        <v>50</v>
      </c>
      <c r="B43" s="3"/>
      <c r="C43" s="3"/>
      <c r="D43" s="4">
        <f>AVERAGE(D2:D15,D17:D19,D21:D39)</f>
        <v>2.6930809658386639</v>
      </c>
    </row>
  </sheetData>
  <mergeCells count="3">
    <mergeCell ref="A43:C43"/>
    <mergeCell ref="A41:C41"/>
    <mergeCell ref="A42:C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Ильдар Н</cp:lastModifiedBy>
  <dcterms:created xsi:type="dcterms:W3CDTF">2024-10-19T15:57:58Z</dcterms:created>
  <dcterms:modified xsi:type="dcterms:W3CDTF">2024-10-19T17:55:42Z</dcterms:modified>
</cp:coreProperties>
</file>